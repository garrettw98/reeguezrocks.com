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Tiers" sheetId="1" state="visible" r:id="rId1"/>
    <sheet xmlns:r="http://schemas.openxmlformats.org/officeDocument/2006/relationships" name="Ticket Pricing" sheetId="2" state="visible" r:id="rId2"/>
    <sheet xmlns:r="http://schemas.openxmlformats.org/officeDocument/2006/relationships" name="Revenue Calculator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Partners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Compens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2B5797"/>
      <sz val="11"/>
    </font>
    <font>
      <b val="1"/>
      <color rgb="00FFFFFF"/>
    </font>
    <font>
      <b val="1"/>
    </font>
    <font>
      <i val="1"/>
    </font>
    <font>
      <color rgb="000000FF"/>
    </font>
    <font>
      <i val="1"/>
      <sz val="10"/>
    </font>
    <font>
      <b val="1"/>
      <color rgb="002B5797"/>
    </font>
  </fonts>
  <fills count="3">
    <fill>
      <patternFill/>
    </fill>
    <fill>
      <patternFill patternType="gray125"/>
    </fill>
    <fill>
      <patternFill patternType="solid">
        <fgColor rgb="002B57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6" fillId="0" borderId="0" pivotButton="0" quotePrefix="0" xfId="0"/>
    <xf numFmtId="164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2" customWidth="1" min="4" max="4"/>
    <col width="14" customWidth="1" min="5" max="5"/>
    <col width="45" customWidth="1" min="6" max="6"/>
  </cols>
  <sheetData>
    <row r="1">
      <c r="A1" s="1" t="inlineStr">
        <is>
          <t>REEGUEZ ROCKS 2026 - FUNDING TIERS (Scaled to 1,500 Attendees)</t>
        </is>
      </c>
    </row>
    <row r="3">
      <c r="A3" s="2" t="inlineStr">
        <is>
          <t>PHASE 1: FOUNDATION (150-200 Attendees)</t>
        </is>
      </c>
    </row>
    <row r="4">
      <c r="A4" s="3" t="inlineStr">
        <is>
          <t>Tier</t>
        </is>
      </c>
      <c r="B4" s="3" t="inlineStr">
        <is>
          <t>Name</t>
        </is>
      </c>
      <c r="C4" s="3" t="inlineStr">
        <is>
          <t>Goal</t>
        </is>
      </c>
      <c r="D4" s="3" t="inlineStr">
        <is>
          <t>Cumulative</t>
        </is>
      </c>
      <c r="E4" s="3" t="inlineStr">
        <is>
          <t>Category</t>
        </is>
      </c>
      <c r="F4" s="3" t="inlineStr">
        <is>
          <t>What It Unlocks</t>
        </is>
      </c>
    </row>
    <row r="5">
      <c r="A5" s="4" t="n">
        <v>1</v>
      </c>
      <c r="B5" s="4" t="inlineStr">
        <is>
          <t>Make It Happen</t>
        </is>
      </c>
      <c r="C5" s="5" t="n">
        <v>3000</v>
      </c>
      <c r="D5" s="5" t="n">
        <v>3000</v>
      </c>
      <c r="E5" s="4" t="inlineStr">
        <is>
          <t>Infrastructure</t>
        </is>
      </c>
      <c r="F5" s="4" t="inlineStr">
        <is>
          <t>Insurance, fuel, U-Hauls, contingency</t>
        </is>
      </c>
    </row>
    <row r="6">
      <c r="A6" s="4" t="n">
        <v>2</v>
      </c>
      <c r="B6" s="4" t="inlineStr">
        <is>
          <t>First Headliner</t>
        </is>
      </c>
      <c r="C6" s="5" t="n">
        <v>5000</v>
      </c>
      <c r="D6" s="5" t="n">
        <v>8000</v>
      </c>
      <c r="E6" s="4" t="inlineStr">
        <is>
          <t>Artists</t>
        </is>
      </c>
      <c r="F6" s="4" t="inlineStr">
        <is>
          <t>Book a name, announce on flyer</t>
        </is>
      </c>
    </row>
    <row r="7">
      <c r="A7" s="4" t="n">
        <v>3</v>
      </c>
      <c r="B7" s="4" t="inlineStr">
        <is>
          <t>Basic Production</t>
        </is>
      </c>
      <c r="C7" s="5" t="n">
        <v>3900</v>
      </c>
      <c r="D7" s="5" t="n">
        <v>11900</v>
      </c>
      <c r="E7" s="4" t="inlineStr">
        <is>
          <t>Production</t>
        </is>
      </c>
      <c r="F7" s="4" t="inlineStr">
        <is>
          <t>Subphonic ($3,000) + Keith dome ($900)</t>
        </is>
      </c>
    </row>
    <row r="9">
      <c r="A9" s="2" t="inlineStr">
        <is>
          <t>PHASE 2: GROWTH (300-500 Attendees)</t>
        </is>
      </c>
    </row>
    <row r="10">
      <c r="A10" s="3" t="inlineStr">
        <is>
          <t>Tier</t>
        </is>
      </c>
      <c r="B10" s="3" t="inlineStr">
        <is>
          <t>Name</t>
        </is>
      </c>
      <c r="C10" s="3" t="inlineStr">
        <is>
          <t>Goal</t>
        </is>
      </c>
      <c r="D10" s="3" t="inlineStr">
        <is>
          <t>Cumulative</t>
        </is>
      </c>
      <c r="E10" s="3" t="inlineStr">
        <is>
          <t>Category</t>
        </is>
      </c>
      <c r="F10" s="3" t="inlineStr">
        <is>
          <t>What It Unlocks</t>
        </is>
      </c>
    </row>
    <row r="11">
      <c r="A11" s="4" t="n">
        <v>4</v>
      </c>
      <c r="B11" s="4" t="inlineStr">
        <is>
          <t>Subphonic Upgraded</t>
        </is>
      </c>
      <c r="C11" s="5" t="n">
        <v>3000</v>
      </c>
      <c r="D11" s="5" t="n">
        <v>14900</v>
      </c>
      <c r="E11" s="4" t="inlineStr">
        <is>
          <t>Production</t>
        </is>
      </c>
      <c r="F11" s="4" t="inlineStr">
        <is>
          <t>+$3k, now $6k total</t>
        </is>
      </c>
    </row>
    <row r="12">
      <c r="A12" s="4" t="n">
        <v>5</v>
      </c>
      <c r="B12" s="4" t="inlineStr">
        <is>
          <t>Festival Ambiance</t>
        </is>
      </c>
      <c r="C12" s="5" t="n">
        <v>3000</v>
      </c>
      <c r="D12" s="5" t="n">
        <v>17900</v>
      </c>
      <c r="E12" s="4" t="inlineStr">
        <is>
          <t>Experience</t>
        </is>
      </c>
      <c r="F12" s="4" t="inlineStr">
        <is>
          <t>Lighting, projectors, decor</t>
        </is>
      </c>
    </row>
    <row r="13">
      <c r="A13" s="4" t="n">
        <v>6</v>
      </c>
      <c r="B13" s="4" t="inlineStr">
        <is>
          <t>Second Headliner</t>
        </is>
      </c>
      <c r="C13" s="5" t="n">
        <v>5000</v>
      </c>
      <c r="D13" s="5" t="n">
        <v>22900</v>
      </c>
      <c r="E13" s="4" t="inlineStr">
        <is>
          <t>Artists</t>
        </is>
      </c>
      <c r="F13" s="4" t="inlineStr">
        <is>
          <t>Another name act for diversity</t>
        </is>
      </c>
    </row>
    <row r="14">
      <c r="A14" s="4" t="n">
        <v>7</v>
      </c>
      <c r="B14" s="4" t="inlineStr">
        <is>
          <t>Daytime Programming</t>
        </is>
      </c>
      <c r="C14" s="5" t="n">
        <v>2500</v>
      </c>
      <c r="D14" s="5" t="n">
        <v>25400</v>
      </c>
      <c r="E14" s="4" t="inlineStr">
        <is>
          <t>Experience</t>
        </is>
      </c>
      <c r="F14" s="4" t="inlineStr">
        <is>
          <t>Yoga, sound baths, workshops</t>
        </is>
      </c>
    </row>
    <row r="16">
      <c r="A16" s="2" t="inlineStr">
        <is>
          <t>PHASE 3: EXPANSION (500-800 Attendees)</t>
        </is>
      </c>
    </row>
    <row r="17">
      <c r="A17" s="3" t="inlineStr">
        <is>
          <t>Tier</t>
        </is>
      </c>
      <c r="B17" s="3" t="inlineStr">
        <is>
          <t>Name</t>
        </is>
      </c>
      <c r="C17" s="3" t="inlineStr">
        <is>
          <t>Goal</t>
        </is>
      </c>
      <c r="D17" s="3" t="inlineStr">
        <is>
          <t>Cumulative</t>
        </is>
      </c>
      <c r="E17" s="3" t="inlineStr">
        <is>
          <t>Category</t>
        </is>
      </c>
      <c r="F17" s="3" t="inlineStr">
        <is>
          <t>What It Unlocks</t>
        </is>
      </c>
    </row>
    <row r="18">
      <c r="A18" s="4" t="n">
        <v>8</v>
      </c>
      <c r="B18" s="4" t="inlineStr">
        <is>
          <t>Subphonic Premium</t>
        </is>
      </c>
      <c r="C18" s="5" t="n">
        <v>3000</v>
      </c>
      <c r="D18" s="5" t="n">
        <v>28400</v>
      </c>
      <c r="E18" s="4" t="inlineStr">
        <is>
          <t>Production</t>
        </is>
      </c>
      <c r="F18" s="4" t="inlineStr">
        <is>
          <t>+$3k, now $9k total</t>
        </is>
      </c>
    </row>
    <row r="19">
      <c r="A19" s="4" t="n">
        <v>9</v>
      </c>
      <c r="B19" s="4" t="inlineStr">
        <is>
          <t>Third Headliner + Support</t>
        </is>
      </c>
      <c r="C19" s="5" t="n">
        <v>5000</v>
      </c>
      <c r="D19" s="5" t="n">
        <v>33400</v>
      </c>
      <c r="E19" s="4" t="inlineStr">
        <is>
          <t>Artists</t>
        </is>
      </c>
      <c r="F19" s="4" t="inlineStr">
        <is>
          <t>Fill out the lineup</t>
        </is>
      </c>
    </row>
    <row r="20">
      <c r="A20" s="4" t="n">
        <v>10</v>
      </c>
      <c r="B20" s="4" t="inlineStr">
        <is>
          <t>Main Stage Visuals</t>
        </is>
      </c>
      <c r="C20" s="5" t="n">
        <v>5000</v>
      </c>
      <c r="D20" s="5" t="n">
        <v>38400</v>
      </c>
      <c r="E20" s="4" t="inlineStr">
        <is>
          <t>Production</t>
        </is>
      </c>
      <c r="F20" s="4" t="inlineStr">
        <is>
          <t>LED wall, expanded lighting</t>
        </is>
      </c>
    </row>
    <row r="21">
      <c r="A21" s="4" t="n">
        <v>11</v>
      </c>
      <c r="B21" s="4" t="inlineStr">
        <is>
          <t>Art + Infrastructure</t>
        </is>
      </c>
      <c r="C21" s="5" t="n">
        <v>5000</v>
      </c>
      <c r="D21" s="5" t="n">
        <v>43400</v>
      </c>
      <c r="E21" s="4" t="inlineStr">
        <is>
          <t>Experience</t>
        </is>
      </c>
      <c r="F21" s="4" t="inlineStr">
        <is>
          <t>Installations, fencing, signage, power</t>
        </is>
      </c>
    </row>
    <row r="23">
      <c r="A23" s="2" t="inlineStr">
        <is>
          <t>PHASE 4: FESTIVAL SCALE (1,000-1,500 Attendees)</t>
        </is>
      </c>
    </row>
    <row r="24">
      <c r="A24" s="3" t="inlineStr">
        <is>
          <t>Tier</t>
        </is>
      </c>
      <c r="B24" s="3" t="inlineStr">
        <is>
          <t>Name</t>
        </is>
      </c>
      <c r="C24" s="3" t="inlineStr">
        <is>
          <t>Goal</t>
        </is>
      </c>
      <c r="D24" s="3" t="inlineStr">
        <is>
          <t>Cumulative</t>
        </is>
      </c>
      <c r="E24" s="3" t="inlineStr">
        <is>
          <t>Category</t>
        </is>
      </c>
      <c r="F24" s="3" t="inlineStr">
        <is>
          <t>What It Unlocks</t>
        </is>
      </c>
    </row>
    <row r="25">
      <c r="A25" s="4" t="n">
        <v>12</v>
      </c>
      <c r="B25" s="4" t="inlineStr">
        <is>
          <t>Subphonic Festival-Grade</t>
        </is>
      </c>
      <c r="C25" s="5" t="n">
        <v>3000</v>
      </c>
      <c r="D25" s="5" t="n">
        <v>46400</v>
      </c>
      <c r="E25" s="4" t="inlineStr">
        <is>
          <t>Production</t>
        </is>
      </c>
      <c r="F25" s="4" t="inlineStr">
        <is>
          <t>+$3k, now $12k total</t>
        </is>
      </c>
    </row>
    <row r="26">
      <c r="A26" s="4" t="n">
        <v>13</v>
      </c>
      <c r="B26" s="4" t="inlineStr">
        <is>
          <t>Major Headliner</t>
        </is>
      </c>
      <c r="C26" s="5" t="n">
        <v>10000</v>
      </c>
      <c r="D26" s="5" t="n">
        <v>56400</v>
      </c>
      <c r="E26" s="4" t="inlineStr">
        <is>
          <t>Artists</t>
        </is>
      </c>
      <c r="F26" s="4" t="inlineStr">
        <is>
          <t>Marquee name to anchor lineup</t>
        </is>
      </c>
    </row>
    <row r="27">
      <c r="A27" s="4" t="n">
        <v>14</v>
      </c>
      <c r="B27" s="4" t="inlineStr">
        <is>
          <t>Full Support Lineup</t>
        </is>
      </c>
      <c r="C27" s="5" t="n">
        <v>8000</v>
      </c>
      <c r="D27" s="5" t="n">
        <v>64400</v>
      </c>
      <c r="E27" s="4" t="inlineStr">
        <is>
          <t>Artists</t>
        </is>
      </c>
      <c r="F27" s="4" t="inlineStr">
        <is>
          <t>4-6 additional mid-tier acts</t>
        </is>
      </c>
    </row>
    <row r="28">
      <c r="A28" s="4" t="n">
        <v>15</v>
      </c>
      <c r="B28" s="4" t="inlineStr">
        <is>
          <t>Premium Package</t>
        </is>
      </c>
      <c r="C28" s="5" t="n">
        <v>10000</v>
      </c>
      <c r="D28" s="5" t="n">
        <v>74400</v>
      </c>
      <c r="E28" s="4" t="inlineStr">
        <is>
          <t>Experience</t>
        </is>
      </c>
      <c r="F28" s="4" t="inlineStr">
        <is>
          <t>Enhanced PA, aftermovie, medical, security</t>
        </is>
      </c>
    </row>
    <row r="30">
      <c r="A30" s="6" t="inlineStr">
        <is>
          <t>TOTAL</t>
        </is>
      </c>
      <c r="D30" s="7" t="n">
        <v>74400</v>
      </c>
    </row>
  </sheetData>
  <mergeCells count="5">
    <mergeCell ref="A16:F16"/>
    <mergeCell ref="A1:F1"/>
    <mergeCell ref="A23:F23"/>
    <mergeCell ref="A9:F9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TICKET PRICING</t>
        </is>
      </c>
    </row>
    <row r="3">
      <c r="A3" s="8" t="inlineStr">
        <is>
          <t>Ticket Type</t>
        </is>
      </c>
      <c r="B3" s="8" t="inlineStr">
        <is>
          <t>Price</t>
        </is>
      </c>
      <c r="C3" s="8" t="inlineStr">
        <is>
          <t>To Venue</t>
        </is>
      </c>
      <c r="D3" s="8" t="inlineStr">
        <is>
          <t>Margin</t>
        </is>
      </c>
      <c r="E3" s="8" t="inlineStr">
        <is>
          <t>Music Days</t>
        </is>
      </c>
    </row>
    <row r="4">
      <c r="A4" s="4" t="inlineStr">
        <is>
          <t>4-Day Pass</t>
        </is>
      </c>
      <c r="B4" s="5" t="n">
        <v>99</v>
      </c>
      <c r="C4" s="5" t="n">
        <v>40</v>
      </c>
      <c r="D4" s="5" t="n">
        <v>59</v>
      </c>
      <c r="E4" s="4" t="inlineStr">
        <is>
          <t>4 (Thu-Mon)</t>
        </is>
      </c>
    </row>
    <row r="5">
      <c r="A5" s="4" t="inlineStr">
        <is>
          <t>3-Day Pass</t>
        </is>
      </c>
      <c r="B5" s="5" t="n">
        <v>80</v>
      </c>
      <c r="C5" s="5" t="n">
        <v>30</v>
      </c>
      <c r="D5" s="5" t="n">
        <v>50</v>
      </c>
      <c r="E5" s="4" t="inlineStr">
        <is>
          <t>3 (Fri-Mon)</t>
        </is>
      </c>
    </row>
    <row r="6">
      <c r="A6" s="4" t="inlineStr">
        <is>
          <t>2-Day Pass</t>
        </is>
      </c>
      <c r="B6" s="5" t="n">
        <v>60</v>
      </c>
      <c r="C6" s="5" t="n">
        <v>20</v>
      </c>
      <c r="D6" s="5" t="n">
        <v>40</v>
      </c>
      <c r="E6" s="4" t="inlineStr">
        <is>
          <t>2 (Sat-Sun)</t>
        </is>
      </c>
    </row>
    <row r="7">
      <c r="A7" s="4" t="inlineStr">
        <is>
          <t>1-Day Pass</t>
        </is>
      </c>
      <c r="B7" s="5" t="n">
        <v>30</v>
      </c>
      <c r="C7" s="5" t="n">
        <v>10</v>
      </c>
      <c r="D7" s="5" t="n">
        <v>20</v>
      </c>
      <c r="E7" s="4" t="inlineStr">
        <is>
          <t>1</t>
        </is>
      </c>
    </row>
    <row r="10">
      <c r="A10" s="6" t="inlineStr">
        <is>
          <t>ADD-ONS (100% Margin)</t>
        </is>
      </c>
    </row>
    <row r="11">
      <c r="A11" s="8" t="inlineStr">
        <is>
          <t>Add-On</t>
        </is>
      </c>
      <c r="B11" s="8" t="inlineStr">
        <is>
          <t>Price</t>
        </is>
      </c>
      <c r="C11" s="8" t="inlineStr">
        <is>
          <t>Availability</t>
        </is>
      </c>
    </row>
    <row r="12">
      <c r="A12" s="4" t="inlineStr">
        <is>
          <t>Car Camping</t>
        </is>
      </c>
      <c r="B12" s="5" t="n">
        <v>30</v>
      </c>
      <c r="C12" s="4" t="inlineStr">
        <is>
          <t>Unlimited</t>
        </is>
      </c>
    </row>
    <row r="13">
      <c r="A13" s="4" t="inlineStr">
        <is>
          <t>Cabin (9 beds)</t>
        </is>
      </c>
      <c r="B13" s="5" t="n">
        <v>1000</v>
      </c>
      <c r="C13" s="4" t="inlineStr">
        <is>
          <t>6 cabins</t>
        </is>
      </c>
    </row>
    <row r="16">
      <c r="A16" s="6" t="inlineStr">
        <is>
          <t>MEAL PLANS</t>
        </is>
      </c>
    </row>
    <row r="17">
      <c r="A17" s="8" t="inlineStr">
        <is>
          <t>Package</t>
        </is>
      </c>
      <c r="B17" s="8" t="inlineStr">
        <is>
          <t>Meals</t>
        </is>
      </c>
      <c r="C17" s="8" t="inlineStr">
        <is>
          <t>Price</t>
        </is>
      </c>
      <c r="D17" s="8" t="inlineStr">
        <is>
          <t>Per Meal</t>
        </is>
      </c>
    </row>
    <row r="18">
      <c r="A18" s="4" t="inlineStr">
        <is>
          <t>Full Festival (Thu-Mon)</t>
        </is>
      </c>
      <c r="B18" s="4" t="n">
        <v>8</v>
      </c>
      <c r="C18" s="5" t="n">
        <v>100</v>
      </c>
      <c r="D18" s="9" t="n">
        <v>12.5</v>
      </c>
    </row>
    <row r="19">
      <c r="A19" s="4" t="inlineStr">
        <is>
          <t>Weekend Only (Sat-Mon)</t>
        </is>
      </c>
      <c r="B19" s="4" t="n">
        <v>4</v>
      </c>
      <c r="C19" s="5" t="n">
        <v>50</v>
      </c>
      <c r="D19" s="9" t="n">
        <v>12.5</v>
      </c>
    </row>
    <row r="20">
      <c r="A20" s="4" t="inlineStr">
        <is>
          <t>Single Day</t>
        </is>
      </c>
      <c r="B20" s="4" t="n">
        <v>2</v>
      </c>
      <c r="C20" s="5" t="n">
        <v>30</v>
      </c>
      <c r="D20" s="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REVENUE CALCULATOR</t>
        </is>
      </c>
    </row>
    <row r="3">
      <c r="A3" s="10" t="inlineStr">
        <is>
          <t>Enter ticket sales below (blue cells):</t>
        </is>
      </c>
    </row>
    <row r="5">
      <c r="A5" s="8" t="inlineStr">
        <is>
          <t>Ticket Type</t>
        </is>
      </c>
      <c r="B5" s="8" t="inlineStr">
        <is>
          <t>Quantity</t>
        </is>
      </c>
      <c r="C5" s="8" t="inlineStr">
        <is>
          <t>Margin</t>
        </is>
      </c>
      <c r="D5" s="8" t="inlineStr">
        <is>
          <t>Revenue</t>
        </is>
      </c>
    </row>
    <row r="6">
      <c r="A6" s="4" t="inlineStr">
        <is>
          <t>4-Day Pass</t>
        </is>
      </c>
      <c r="B6" s="11" t="n">
        <v>0</v>
      </c>
      <c r="C6" s="5" t="n">
        <v>59</v>
      </c>
      <c r="D6" s="5">
        <f>B6*C6</f>
        <v/>
      </c>
    </row>
    <row r="7">
      <c r="A7" s="4" t="inlineStr">
        <is>
          <t>3-Day Pass</t>
        </is>
      </c>
      <c r="B7" s="11" t="n">
        <v>0</v>
      </c>
      <c r="C7" s="5" t="n">
        <v>50</v>
      </c>
      <c r="D7" s="5">
        <f>B7*C7</f>
        <v/>
      </c>
    </row>
    <row r="8">
      <c r="A8" s="4" t="inlineStr">
        <is>
          <t>2-Day Pass</t>
        </is>
      </c>
      <c r="B8" s="11" t="n">
        <v>0</v>
      </c>
      <c r="C8" s="5" t="n">
        <v>40</v>
      </c>
      <c r="D8" s="5">
        <f>B8*C8</f>
        <v/>
      </c>
    </row>
    <row r="9">
      <c r="A9" s="4" t="inlineStr">
        <is>
          <t>1-Day Pass</t>
        </is>
      </c>
      <c r="B9" s="11" t="n">
        <v>0</v>
      </c>
      <c r="C9" s="5" t="n">
        <v>20</v>
      </c>
      <c r="D9" s="5">
        <f>B9*C9</f>
        <v/>
      </c>
    </row>
    <row r="10">
      <c r="A10" s="4" t="inlineStr">
        <is>
          <t>Car Camping</t>
        </is>
      </c>
      <c r="B10" s="11" t="n">
        <v>0</v>
      </c>
      <c r="C10" s="5" t="n">
        <v>30</v>
      </c>
      <c r="D10" s="5">
        <f>B10*C10</f>
        <v/>
      </c>
    </row>
    <row r="11">
      <c r="A11" s="4" t="inlineStr">
        <is>
          <t>Cabins</t>
        </is>
      </c>
      <c r="B11" s="11" t="n">
        <v>0</v>
      </c>
      <c r="C11" s="5" t="n">
        <v>1000</v>
      </c>
      <c r="D11" s="5">
        <f>B11*C11</f>
        <v/>
      </c>
    </row>
    <row r="12">
      <c r="A12" s="4" t="inlineStr">
        <is>
          <t>Full Meal Plan</t>
        </is>
      </c>
      <c r="B12" s="11" t="n">
        <v>0</v>
      </c>
      <c r="C12" s="5" t="n">
        <v>25</v>
      </c>
      <c r="D12" s="5">
        <f>B12*C12</f>
        <v/>
      </c>
    </row>
    <row r="13">
      <c r="A13" s="6" t="inlineStr">
        <is>
          <t>TOTAL MARGIN</t>
        </is>
      </c>
      <c r="D13" s="7">
        <f>SUM(D6:D12)</f>
        <v/>
      </c>
    </row>
    <row r="15">
      <c r="A15" s="6" t="inlineStr">
        <is>
          <t>TIER REACHED:</t>
        </is>
      </c>
      <c r="B15">
        <f>IF(D13&gt;=84400,"Tier 15",IF(D13&gt;=76400,"Tier 14",IF(D13&gt;=68400,"Tier 13",IF(D13&gt;=56400,"Tier 12",IF(D13&gt;=46400,"Tier 11",IF(D13&gt;=41400,"Tier 10",IF(D13&gt;=38400,"Tier 9",IF(D13&gt;=30400,"Tier 8",IF(D13&gt;=25400,"Tier 7",IF(D13&gt;=22900,"Tier 6",IF(D13&gt;=19900,"Tier 5",IF(D13&gt;=14900,"Tier 4",IF(D13&gt;=11900,"Tier 3",IF(D13&gt;=8000,"Tier 2",IF(D13&gt;=3000,"Tier 1","Below Tier 1")))))))))))))))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REVENUE SCENARIOS BY ATTENDANCE</t>
        </is>
      </c>
    </row>
    <row r="3">
      <c r="A3" s="8" t="inlineStr">
        <is>
          <t>Attendance</t>
        </is>
      </c>
      <c r="B3" s="8" t="inlineStr">
        <is>
          <t>4-Day</t>
        </is>
      </c>
      <c r="C3" s="8" t="inlineStr">
        <is>
          <t>3-Day</t>
        </is>
      </c>
      <c r="D3" s="8" t="inlineStr">
        <is>
          <t>2-Day</t>
        </is>
      </c>
      <c r="E3" s="8" t="inlineStr">
        <is>
          <t>Cabins</t>
        </is>
      </c>
      <c r="F3" s="8" t="inlineStr">
        <is>
          <t>Camping</t>
        </is>
      </c>
      <c r="G3" s="8" t="inlineStr">
        <is>
          <t>Meals</t>
        </is>
      </c>
      <c r="H3" s="8" t="inlineStr">
        <is>
          <t>Total Margin</t>
        </is>
      </c>
      <c r="I3" s="8" t="inlineStr">
        <is>
          <t>Phase</t>
        </is>
      </c>
    </row>
    <row r="4">
      <c r="A4" s="4" t="n">
        <v>150</v>
      </c>
      <c r="B4" s="4" t="n">
        <v>100</v>
      </c>
      <c r="C4" s="4" t="n">
        <v>30</v>
      </c>
      <c r="D4" s="4" t="n">
        <v>20</v>
      </c>
      <c r="E4" s="4" t="n">
        <v>4</v>
      </c>
      <c r="F4" s="4" t="n">
        <v>40</v>
      </c>
      <c r="G4" s="4" t="n">
        <v>30</v>
      </c>
      <c r="H4" s="5" t="n">
        <v>13400</v>
      </c>
      <c r="I4" s="4" t="inlineStr">
        <is>
          <t>Phase 1</t>
        </is>
      </c>
    </row>
    <row r="5">
      <c r="A5" s="4" t="n">
        <v>300</v>
      </c>
      <c r="B5" s="4" t="n">
        <v>200</v>
      </c>
      <c r="C5" s="4" t="n">
        <v>60</v>
      </c>
      <c r="D5" s="4" t="n">
        <v>40</v>
      </c>
      <c r="E5" s="4" t="n">
        <v>6</v>
      </c>
      <c r="F5" s="4" t="n">
        <v>80</v>
      </c>
      <c r="G5" s="4" t="n">
        <v>60</v>
      </c>
      <c r="H5" s="5" t="n">
        <v>26700</v>
      </c>
      <c r="I5" s="4" t="inlineStr">
        <is>
          <t>Phase 2</t>
        </is>
      </c>
    </row>
    <row r="6">
      <c r="A6" s="4" t="n">
        <v>500</v>
      </c>
      <c r="B6" s="4" t="n">
        <v>350</v>
      </c>
      <c r="C6" s="4" t="n">
        <v>100</v>
      </c>
      <c r="D6" s="4" t="n">
        <v>50</v>
      </c>
      <c r="E6" s="4" t="n">
        <v>6</v>
      </c>
      <c r="F6" s="4" t="n">
        <v>150</v>
      </c>
      <c r="G6" s="4" t="n">
        <v>100</v>
      </c>
      <c r="H6" s="5" t="n">
        <v>40650</v>
      </c>
      <c r="I6" s="4" t="inlineStr">
        <is>
          <t>Phase 3</t>
        </is>
      </c>
    </row>
    <row r="7">
      <c r="A7" s="4" t="n">
        <v>800</v>
      </c>
      <c r="B7" s="4" t="n">
        <v>550</v>
      </c>
      <c r="C7" s="4" t="n">
        <v>150</v>
      </c>
      <c r="D7" s="4" t="n">
        <v>100</v>
      </c>
      <c r="E7" s="4" t="n">
        <v>6</v>
      </c>
      <c r="F7" s="4" t="n">
        <v>250</v>
      </c>
      <c r="G7" s="4" t="n">
        <v>160</v>
      </c>
      <c r="H7" s="5" t="n">
        <v>63200</v>
      </c>
      <c r="I7" s="4" t="inlineStr">
        <is>
          <t>Phase 3-4</t>
        </is>
      </c>
    </row>
    <row r="8">
      <c r="A8" s="4" t="n">
        <v>1000</v>
      </c>
      <c r="B8" s="4" t="n">
        <v>700</v>
      </c>
      <c r="C8" s="4" t="n">
        <v>200</v>
      </c>
      <c r="D8" s="4" t="n">
        <v>100</v>
      </c>
      <c r="E8" s="4" t="n">
        <v>6</v>
      </c>
      <c r="F8" s="4" t="n">
        <v>350</v>
      </c>
      <c r="G8" s="4" t="n">
        <v>200</v>
      </c>
      <c r="H8" s="5" t="n">
        <v>80050</v>
      </c>
      <c r="I8" s="4" t="inlineStr">
        <is>
          <t>Phase 4</t>
        </is>
      </c>
    </row>
    <row r="9">
      <c r="A9" s="4" t="n">
        <v>1500</v>
      </c>
      <c r="B9" s="4" t="n">
        <v>1000</v>
      </c>
      <c r="C9" s="4" t="n">
        <v>300</v>
      </c>
      <c r="D9" s="4" t="n">
        <v>200</v>
      </c>
      <c r="E9" s="4" t="n">
        <v>6</v>
      </c>
      <c r="F9" s="4" t="n">
        <v>500</v>
      </c>
      <c r="G9" s="4" t="n">
        <v>300</v>
      </c>
      <c r="H9" s="5" t="n">
        <v>110500</v>
      </c>
      <c r="I9" s="4" t="inlineStr">
        <is>
          <t>Phase 4+</t>
        </is>
      </c>
    </row>
    <row r="12">
      <c r="A12" s="12" t="inlineStr">
        <is>
          <t>Formula: (4d×$59) + (3d×$50) + (2d×$40) + (cabins×$1000) + (camp×$30) + (meals×$25)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STAGE PARTNER TRACKER</t>
        </is>
      </c>
    </row>
    <row r="3">
      <c r="A3" s="8" t="inlineStr">
        <is>
          <t>Crew/Promoter</t>
        </is>
      </c>
      <c r="B3" s="8" t="inlineStr">
        <is>
          <t>Their Gear</t>
        </is>
      </c>
      <c r="C3" s="8" t="inlineStr">
        <is>
          <t>Deal Type</t>
        </is>
      </c>
      <c r="D3" s="8" t="inlineStr">
        <is>
          <t>Affiliate %</t>
        </is>
      </c>
      <c r="E3" s="8" t="inlineStr">
        <is>
          <t>Status</t>
        </is>
      </c>
      <c r="F3" s="8" t="inlineStr">
        <is>
          <t>Notes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20" customWidth="1" min="5" max="5"/>
    <col width="12" customWidth="1" min="6" max="6"/>
  </cols>
  <sheetData>
    <row r="1">
      <c r="A1" s="1" t="inlineStr">
        <is>
          <t>VENDOR TRACKER</t>
        </is>
      </c>
    </row>
    <row r="3">
      <c r="A3" s="8" t="inlineStr">
        <is>
          <t>Vendor Name</t>
        </is>
      </c>
      <c r="B3" s="8" t="inlineStr">
        <is>
          <t>Category</t>
        </is>
      </c>
      <c r="C3" s="8" t="inlineStr">
        <is>
          <t>Fee Type</t>
        </is>
      </c>
      <c r="D3" s="8" t="inlineStr">
        <is>
          <t>Fee Amount</t>
        </is>
      </c>
      <c r="E3" s="8" t="inlineStr">
        <is>
          <t>Contact</t>
        </is>
      </c>
      <c r="F3" s="8" t="inlineStr">
        <is>
          <t>Status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COMPENSATION MODEL</t>
        </is>
      </c>
    </row>
    <row r="3">
      <c r="A3" s="6" t="inlineStr">
        <is>
          <t>PROFIT POOL - TIER CONTRIBUTIONS</t>
        </is>
      </c>
    </row>
    <row r="4">
      <c r="A4" s="8" t="inlineStr">
        <is>
          <t>Phase</t>
        </is>
      </c>
      <c r="B4" s="8" t="inlineStr">
        <is>
          <t>Per Tier Reached</t>
        </is>
      </c>
      <c r="C4" s="8" t="inlineStr">
        <is>
          <t>Tiers</t>
        </is>
      </c>
      <c r="D4" s="8" t="inlineStr">
        <is>
          <t>Phase Total</t>
        </is>
      </c>
    </row>
    <row r="5">
      <c r="A5" s="4" t="inlineStr">
        <is>
          <t>Phase 1 (Tier 1-3)</t>
        </is>
      </c>
      <c r="B5" s="5" t="n">
        <v>300</v>
      </c>
      <c r="C5" s="4" t="n">
        <v>3</v>
      </c>
      <c r="D5" s="5" t="n">
        <v>900</v>
      </c>
    </row>
    <row r="6">
      <c r="A6" s="4" t="inlineStr">
        <is>
          <t>Phase 2 (Tier 4-7)</t>
        </is>
      </c>
      <c r="B6" s="5" t="n">
        <v>500</v>
      </c>
      <c r="C6" s="4" t="n">
        <v>4</v>
      </c>
      <c r="D6" s="5" t="n">
        <v>2000</v>
      </c>
    </row>
    <row r="7">
      <c r="A7" s="4" t="inlineStr">
        <is>
          <t>Phase 3 (Tier 8-11)</t>
        </is>
      </c>
      <c r="B7" s="5" t="n">
        <v>750</v>
      </c>
      <c r="C7" s="4" t="n">
        <v>4</v>
      </c>
      <c r="D7" s="5" t="n">
        <v>3000</v>
      </c>
    </row>
    <row r="8">
      <c r="A8" s="4" t="inlineStr">
        <is>
          <t>Phase 4 (Tier 12-15)</t>
        </is>
      </c>
      <c r="B8" s="5" t="n">
        <v>1000</v>
      </c>
      <c r="C8" s="4" t="n">
        <v>4</v>
      </c>
      <c r="D8" s="5" t="n">
        <v>4000</v>
      </c>
    </row>
    <row r="9">
      <c r="A9" s="6" t="inlineStr">
        <is>
          <t>MAX FROM ALL TIERS:</t>
        </is>
      </c>
      <c r="D9" s="7" t="n">
        <v>9900</v>
      </c>
    </row>
    <row r="12">
      <c r="A12" s="6" t="inlineStr">
        <is>
          <t>INDIVIDUAL AFFILIATE LINKS</t>
        </is>
      </c>
    </row>
    <row r="13">
      <c r="A13" s="8" t="inlineStr">
        <is>
          <t>Role</t>
        </is>
      </c>
      <c r="B13" s="8" t="inlineStr">
        <is>
          <t>Per Ticket Sold</t>
        </is>
      </c>
      <c r="C13" s="8" t="inlineStr">
        <is>
          <t>Notes</t>
        </is>
      </c>
    </row>
    <row r="14">
      <c r="A14" s="4" t="inlineStr">
        <is>
          <t>Stage Partners</t>
        </is>
      </c>
      <c r="B14" s="4" t="inlineStr">
        <is>
          <t>$3-4</t>
        </is>
      </c>
      <c r="C14" s="4" t="inlineStr">
        <is>
          <t>Highest rate - bringing production</t>
        </is>
      </c>
    </row>
    <row r="15">
      <c r="A15" s="4" t="inlineStr">
        <is>
          <t>Local/Opener DJs</t>
        </is>
      </c>
      <c r="B15" s="4" t="inlineStr">
        <is>
          <t>$2</t>
        </is>
      </c>
      <c r="C15" s="4" t="inlineStr">
        <is>
          <t>Playing free, earn through promo</t>
        </is>
      </c>
    </row>
    <row r="16">
      <c r="A16" s="4" t="inlineStr">
        <is>
          <t>Vendors</t>
        </is>
      </c>
      <c r="B16" s="4" t="inlineStr">
        <is>
          <t>$2</t>
        </is>
      </c>
      <c r="C16" s="4" t="inlineStr">
        <is>
          <t>Reach their customer base</t>
        </is>
      </c>
    </row>
    <row r="17">
      <c r="A17" s="4" t="inlineStr">
        <is>
          <t>Contracted Artists</t>
        </is>
      </c>
      <c r="B17" s="4" t="inlineStr">
        <is>
          <t>$1</t>
        </is>
      </c>
      <c r="C17" s="4" t="inlineStr">
        <is>
          <t>Optional - already paid</t>
        </is>
      </c>
    </row>
    <row r="20">
      <c r="A20" s="6" t="inlineStr">
        <is>
          <t>WHO GETS PAID WHAT</t>
        </is>
      </c>
    </row>
    <row r="21">
      <c r="A21" s="8" t="inlineStr">
        <is>
          <t>Role</t>
        </is>
      </c>
      <c r="B21" s="8" t="inlineStr">
        <is>
          <t>Upfront</t>
        </is>
      </c>
      <c r="C21" s="8" t="inlineStr">
        <is>
          <t>Affiliate</t>
        </is>
      </c>
      <c r="D21" s="8" t="inlineStr">
        <is>
          <t>Profit Pool</t>
        </is>
      </c>
    </row>
    <row r="22">
      <c r="A22" s="4" t="inlineStr">
        <is>
          <t>Headliners</t>
        </is>
      </c>
      <c r="B22" s="4" t="inlineStr">
        <is>
          <t>Contract</t>
        </is>
      </c>
      <c r="C22" s="4" t="inlineStr">
        <is>
          <t>$1/tix (opt)</t>
        </is>
      </c>
      <c r="D22" s="4" t="inlineStr">
        <is>
          <t>No</t>
        </is>
      </c>
    </row>
    <row r="23">
      <c r="A23" s="4" t="inlineStr">
        <is>
          <t>Support Acts</t>
        </is>
      </c>
      <c r="B23" s="4" t="inlineStr">
        <is>
          <t>Contract</t>
        </is>
      </c>
      <c r="C23" s="4" t="inlineStr">
        <is>
          <t>$1/tix (opt)</t>
        </is>
      </c>
      <c r="D23" s="4" t="inlineStr">
        <is>
          <t>No</t>
        </is>
      </c>
    </row>
    <row r="24">
      <c r="A24" s="4" t="inlineStr">
        <is>
          <t>Local/Opener DJs</t>
        </is>
      </c>
      <c r="B24" s="4" t="inlineStr">
        <is>
          <t>Free</t>
        </is>
      </c>
      <c r="C24" s="4" t="inlineStr">
        <is>
          <t>$2/ticket</t>
        </is>
      </c>
      <c r="D24" s="13" t="inlineStr">
        <is>
          <t>YES</t>
        </is>
      </c>
    </row>
    <row r="25">
      <c r="A25" s="4" t="inlineStr">
        <is>
          <t>Vendors</t>
        </is>
      </c>
      <c r="B25" s="4" t="inlineStr">
        <is>
          <t>Booth fee</t>
        </is>
      </c>
      <c r="C25" s="4" t="inlineStr">
        <is>
          <t>$2/ticket</t>
        </is>
      </c>
      <c r="D25" s="4" t="inlineStr">
        <is>
          <t>No</t>
        </is>
      </c>
    </row>
    <row r="26">
      <c r="A26" s="4" t="inlineStr">
        <is>
          <t>Subphonic</t>
        </is>
      </c>
      <c r="B26" s="4" t="inlineStr">
        <is>
          <t>$3-6k</t>
        </is>
      </c>
      <c r="C26" s="4" t="inlineStr">
        <is>
          <t>No</t>
        </is>
      </c>
      <c r="D26" s="4" t="inlineStr">
        <is>
          <t>No</t>
        </is>
      </c>
    </row>
    <row r="27">
      <c r="A27" s="4" t="inlineStr">
        <is>
          <t>Keith (Dome)</t>
        </is>
      </c>
      <c r="B27" s="4" t="inlineStr">
        <is>
          <t>$900</t>
        </is>
      </c>
      <c r="C27" s="4" t="inlineStr">
        <is>
          <t>No</t>
        </is>
      </c>
      <c r="D27" s="4" t="inlineStr">
        <is>
          <t>No</t>
        </is>
      </c>
    </row>
    <row r="28">
      <c r="A28" s="4" t="inlineStr">
        <is>
          <t>Stage Partners</t>
        </is>
      </c>
      <c r="B28" s="4" t="inlineStr">
        <is>
          <t>Base (Ph3+)</t>
        </is>
      </c>
      <c r="C28" s="4" t="inlineStr">
        <is>
          <t>$3-4/ticket</t>
        </is>
      </c>
      <c r="D28" s="13" t="inlineStr">
        <is>
          <t>YES</t>
        </is>
      </c>
    </row>
    <row r="29">
      <c r="A29" s="4" t="inlineStr">
        <is>
          <t>Volunteers</t>
        </is>
      </c>
      <c r="B29" s="4" t="inlineStr">
        <is>
          <t>Pass+meals</t>
        </is>
      </c>
      <c r="C29" s="4" t="inlineStr">
        <is>
          <t>No</t>
        </is>
      </c>
      <c r="D29" s="4" t="inlineStr">
        <is>
          <t>No</t>
        </is>
      </c>
    </row>
    <row r="30">
      <c r="A30" s="4" t="inlineStr">
        <is>
          <t>Organizers</t>
        </is>
      </c>
      <c r="B30" s="4" t="inlineStr">
        <is>
          <t>$0</t>
        </is>
      </c>
      <c r="C30" s="4" t="inlineStr">
        <is>
          <t>No</t>
        </is>
      </c>
      <c r="D30" s="13" t="inlineStr">
        <is>
          <t>YES</t>
        </is>
      </c>
    </row>
    <row r="33">
      <c r="A33" s="6" t="inlineStr">
        <is>
          <t>PROFIT POOL DISTRIBUTION</t>
        </is>
      </c>
    </row>
    <row r="34">
      <c r="A34" s="10" t="inlineStr">
        <is>
          <t>Phase 1-2 (No Partners)</t>
        </is>
      </c>
    </row>
    <row r="35">
      <c r="A35" s="8" t="inlineStr">
        <is>
          <t>Recipient</t>
        </is>
      </c>
      <c r="B35" s="8" t="inlineStr">
        <is>
          <t>% of Pool</t>
        </is>
      </c>
    </row>
    <row r="36">
      <c r="A36" s="4" t="inlineStr">
        <is>
          <t>Local/Opener Pool</t>
        </is>
      </c>
      <c r="B36" s="4" t="inlineStr">
        <is>
          <t>30%</t>
        </is>
      </c>
    </row>
    <row r="37">
      <c r="A37" s="4" t="inlineStr">
        <is>
          <t>Organizers</t>
        </is>
      </c>
      <c r="B37" s="4" t="inlineStr">
        <is>
          <t>50%</t>
        </is>
      </c>
    </row>
    <row r="38">
      <c r="A38" s="4" t="inlineStr">
        <is>
          <t>Next Year Seed</t>
        </is>
      </c>
      <c r="B38" s="4" t="inlineStr">
        <is>
          <t>20%</t>
        </is>
      </c>
    </row>
    <row r="40">
      <c r="A40" s="10" t="inlineStr">
        <is>
          <t>Phase 3-4 (With Partners)</t>
        </is>
      </c>
    </row>
    <row r="41">
      <c r="A41" s="8" t="inlineStr">
        <is>
          <t>Recipient</t>
        </is>
      </c>
      <c r="B41" s="8" t="inlineStr">
        <is>
          <t>% of Pool</t>
        </is>
      </c>
    </row>
    <row r="42">
      <c r="A42" s="4" t="inlineStr">
        <is>
          <t>Stage Partners (split)</t>
        </is>
      </c>
      <c r="B42" s="4" t="inlineStr">
        <is>
          <t>20%</t>
        </is>
      </c>
    </row>
    <row r="43">
      <c r="A43" s="4" t="inlineStr">
        <is>
          <t>Local/Opener Pool</t>
        </is>
      </c>
      <c r="B43" s="4" t="inlineStr">
        <is>
          <t>25%</t>
        </is>
      </c>
    </row>
    <row r="44">
      <c r="A44" s="4" t="inlineStr">
        <is>
          <t>Organizers</t>
        </is>
      </c>
      <c r="B44" s="4" t="inlineStr">
        <is>
          <t>40%</t>
        </is>
      </c>
    </row>
    <row r="45">
      <c r="A45" s="4" t="inlineStr">
        <is>
          <t>Next Year Seed</t>
        </is>
      </c>
      <c r="B45" s="4" t="inlineStr">
        <is>
          <t>15%</t>
        </is>
      </c>
    </row>
    <row r="48">
      <c r="A48" s="6" t="inlineStr">
        <is>
          <t>PROFIT POOL CALCULATOR</t>
        </is>
      </c>
    </row>
    <row r="49">
      <c r="A49" t="inlineStr">
        <is>
          <t>Highest tier reached:</t>
        </is>
      </c>
      <c r="B49" s="14" t="n">
        <v>0</v>
      </c>
    </row>
    <row r="50">
      <c r="A50" t="inlineStr">
        <is>
          <t>Remaining surplus:</t>
        </is>
      </c>
      <c r="B50" s="15" t="n">
        <v>0</v>
      </c>
    </row>
    <row r="52">
      <c r="A52" t="inlineStr">
        <is>
          <t>Tier contributions:</t>
        </is>
      </c>
      <c r="B52" s="16">
        <f>IF(B49&gt;=12,9900,IF(B49&gt;=8,5900,IF(B49&gt;=4,2900,IF(B49&gt;=1,B49*300,0))))</f>
        <v/>
      </c>
    </row>
    <row r="53">
      <c r="A53" t="inlineStr">
        <is>
          <t>Total Profit Pool:</t>
        </is>
      </c>
      <c r="B53" s="7">
        <f>B52+B50</f>
        <v/>
      </c>
    </row>
    <row r="56">
      <c r="A56" s="6" t="inlineStr">
        <is>
          <t>LOCAL DJ POOL (30% of profit pool in Ph1-2, 25% in Ph3-4)</t>
        </is>
      </c>
    </row>
    <row r="57">
      <c r="A57" s="8" t="inlineStr">
        <is>
          <t>Set Length</t>
        </is>
      </c>
      <c r="B57" s="8" t="inlineStr">
        <is>
          <t>Points</t>
        </is>
      </c>
      <c r="C57" s="8" t="inlineStr">
        <is>
          <t>Count</t>
        </is>
      </c>
      <c r="D57" s="8" t="inlineStr">
        <is>
          <t>Total Pts</t>
        </is>
      </c>
      <c r="E57" s="8" t="inlineStr">
        <is>
          <t>Per DJ Payout</t>
        </is>
      </c>
    </row>
    <row r="58">
      <c r="A58" s="4" t="inlineStr">
        <is>
          <t>1 hour</t>
        </is>
      </c>
      <c r="B58" s="4" t="n">
        <v>2</v>
      </c>
      <c r="C58" s="11" t="n">
        <v>0</v>
      </c>
      <c r="D58" s="4">
        <f>B58*C58</f>
        <v/>
      </c>
      <c r="E58" s="5">
        <f>IF(SUM($D$58:$D$60)&gt;0,(B58/SUM($D$58:$D$60))*($B$53*0.3),0)</f>
        <v/>
      </c>
    </row>
    <row r="59">
      <c r="A59" s="4" t="inlineStr">
        <is>
          <t>45 min</t>
        </is>
      </c>
      <c r="B59" s="4" t="n">
        <v>1.5</v>
      </c>
      <c r="C59" s="11" t="n">
        <v>0</v>
      </c>
      <c r="D59" s="4">
        <f>B59*C59</f>
        <v/>
      </c>
      <c r="E59" s="5">
        <f>IF(SUM($D$58:$D$60)&gt;0,(B59/SUM($D$58:$D$60))*($B$53*0.3),0)</f>
        <v/>
      </c>
    </row>
    <row r="60">
      <c r="A60" s="4" t="inlineStr">
        <is>
          <t>30 min</t>
        </is>
      </c>
      <c r="B60" s="4" t="n">
        <v>1</v>
      </c>
      <c r="C60" s="11" t="n">
        <v>0</v>
      </c>
      <c r="D60" s="4">
        <f>B60*C60</f>
        <v/>
      </c>
      <c r="E60" s="5">
        <f>IF(SUM($D$58:$D$60)&gt;0,(B60/SUM($D$58:$D$60))*($B$53*0.3),0)</f>
        <v/>
      </c>
    </row>
    <row r="61">
      <c r="A61" t="inlineStr">
        <is>
          <t>Total Points:</t>
        </is>
      </c>
      <c r="D61" s="6">
        <f>SUM(D58:D60)</f>
        <v/>
      </c>
    </row>
    <row r="64">
      <c r="A64" s="6" t="inlineStr">
        <is>
          <t>AFFILIATE EARNINGS CALCULATOR</t>
        </is>
      </c>
    </row>
    <row r="65">
      <c r="A65" t="inlineStr">
        <is>
          <t>Tickets sold through your link:</t>
        </is>
      </c>
      <c r="B65" s="14" t="n">
        <v>0</v>
      </c>
    </row>
    <row r="66">
      <c r="A66" t="inlineStr">
        <is>
          <t>Your rate ($/ticket):</t>
        </is>
      </c>
      <c r="B66" s="14" t="n">
        <v>2</v>
      </c>
    </row>
    <row r="67">
      <c r="A67" t="inlineStr">
        <is>
          <t>Your affiliate earnings:</t>
        </is>
      </c>
      <c r="B67" s="7">
        <f>B65*B66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2025-11-27T01:02:08Z</dcterms:created>
  <dcterms:modified xmlns:dcterms="http://purl.org/dc/terms/" xmlns:xsi="http://www.w3.org/2001/XMLSchema-instance" xsi:type="dcterms:W3CDTF">2025-11-27T01:02:08Z</dcterms:modified>
</cp:coreProperties>
</file>